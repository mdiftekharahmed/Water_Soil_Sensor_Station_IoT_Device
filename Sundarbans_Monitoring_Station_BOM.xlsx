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<sst xmlns="http://schemas.openxmlformats.org/spreadsheetml/2006/main" count="109" uniqueCount="84">
  <si>
    <t xml:space="preserve">#</t>
  </si>
  <si>
    <t xml:space="preserve">Category</t>
  </si>
  <si>
    <t xml:space="preserve">Item</t>
  </si>
  <si>
    <t xml:space="preserve">Qty</t>
  </si>
  <si>
    <t xml:space="preserve">Unit Price (BDT)</t>
  </si>
  <si>
    <t xml:space="preserve">Total (BDT)</t>
  </si>
  <si>
    <t xml:space="preserve">Sourcing / Link</t>
  </si>
  <si>
    <t xml:space="preserve">Notes</t>
  </si>
  <si>
    <t xml:space="preserve">1. Core &amp; Cellular</t>
  </si>
  <si>
    <t xml:space="preserve">LILYGO T-A7670E R2 (ESP32 + 4G LTE Cat-1 + microSD)</t>
  </si>
  <si>
    <t xml:space="preserve">store.roboticsbd.com (search 'T-A7670E')</t>
  </si>
  <si>
    <t xml:space="preserve">Power the board via Vbus/USB-C from a regulated 5V rail off your 12V system - NOT via the onboard 'solar' JST port, which is a single-cell 3.7V Li-ion charge circuit (4.4-6V in), incompatible with a 12V pack. Leave the 18650 holder empty.</t>
  </si>
  <si>
    <t xml:space="preserve">Industrial 16GB microSD (Class 10)</t>
  </si>
  <si>
    <t xml:space="preserve">Any local electronics retailer</t>
  </si>
  <si>
    <t xml:space="preserve">Store-and-forward CSV buffer during 4G drops.</t>
  </si>
  <si>
    <t xml:space="preserve">MAX485 TTL-to-RS485 module</t>
  </si>
  <si>
    <t xml:space="preserve">store.roboticsbd.com (search 'MAX485')</t>
  </si>
  <si>
    <t xml:space="preserve">Bridges ESP32 UART to the RS485 bus.</t>
  </si>
  <si>
    <t xml:space="preserve">120 Ohm RS485 termination resistors (pack)</t>
  </si>
  <si>
    <t xml:space="preserve">One at EACH physical end of the 12-15m RS485 daisy-chain - missing from original BOM, prevents intermittent comms faults.</t>
  </si>
  <si>
    <t xml:space="preserve">5V/3A buck (step-down) module + supercapacitor</t>
  </si>
  <si>
    <t xml:space="preserve">Feeds LILYGO Vbus from the 12V rail directly (bypassing the onboard solar/battery circuit). Supercap smooths ~2A LTE transmit current spikes that otherwise trigger brownout resets on this board family.</t>
  </si>
  <si>
    <t xml:space="preserve">2. Soil &amp; Water Sensors</t>
  </si>
  <si>
    <t xml:space="preserve">RS485 7-in-1 Soil NPK/pH/EC/Moisture/Temp Sensor, IP68, 5-30V</t>
  </si>
  <si>
    <t xml:space="preserve">https://store.roboticsbd.com/sensors/2938-modbus-rtu-rs485-soil-npk-measure-sensor-ip68-5-30v-robotics-bangladesh.html</t>
  </si>
  <si>
    <t xml:space="preserve">Treat N/P/K outputs as relative trends only in saline Sundarbans soil - EC-based estimation is inflated by Na+/Cl- ions.</t>
  </si>
  <si>
    <t xml:space="preserve">Submersible level transducer, 4-20mA, 0-5m, 24VDC, IP68</t>
  </si>
  <si>
    <t xml:space="preserve">eBay: https://www.ebay.de/itm/406396009117 (~US$51 + shipping) - or search AliExpress 'submersible pressure level transmitter 4-20mA 0-5m'</t>
  </si>
  <si>
    <t xml:space="preserve">No BD retail stock found for this spec - import item. Budget for customs duty (~15-37% on electronics into BD) and 2-4 week shipping; confirm with a local importer/customs agent before ordering.</t>
  </si>
  <si>
    <t xml:space="preserve">4-20mA/0-10V multi-channel to RS485 Modbus ADC converter (4-8 ch)</t>
  </si>
  <si>
    <t xml:space="preserve">https://www.wayjun.net/index.php?main_page=product_info&amp;products_id=13 (WJ21, ~US$55) - or Amazon 'Taidacent 4-20mA RS485 Modbus converter'</t>
  </si>
  <si>
    <t xml:space="preserve">Buy a 4-8 channel version, not a 1-channel one: use one converter for BOTH the level transducer (4-20mA) and the turbidity probe (0-5V analog) - saves a second module and a Modbus address. Import item.</t>
  </si>
  <si>
    <t xml:space="preserve">RS485 Modbus Water pH Sensor, IP68, factory-calibrated, ATC</t>
  </si>
  <si>
    <t xml:space="preserve">https://www.dfrobot.com/product-3101.html (DFRobot SEN0708, ~US$129)</t>
  </si>
  <si>
    <t xml:space="preserve">GOOD NEWS: ships with pH 4.01/6.86/9.18 buffer powders included - covers your recalibration cycle, no separate purchase needed. Factory pre-calibrated. Import item - check DFRobot/RobotShop/Robu.in for lower BD-region shipping.</t>
  </si>
  <si>
    <t xml:space="preserve">RS485 Industrial Water EC/TDS/Salinity Sensor, K=10 (high-range, IP68)</t>
  </si>
  <si>
    <t xml:space="preserve">https://www.dfrobot.com/product-3099.html (DFRobot SEN0713) - price not confirmed, verify on-site</t>
  </si>
  <si>
    <t xml:space="preserve">IMPORTANT: use the K=10 (high-range) probe, not the K=1 freshwater version - K=1 saturates in brackish/tidal Sundarbans water. This replaces the vague 'EC/Salinity/TDS Set' line with a specific, sourceable part.</t>
  </si>
  <si>
    <t xml:space="preserve">Optical turbidity probe, analog 0-5V, potted/IP68</t>
  </si>
  <si>
    <t xml:space="preserve">store.roboticsbd.com (search 'turbidity sensor')</t>
  </si>
  <si>
    <t xml:space="preserve">No RS485-native turbidity sensor found in stock anywhere searched - this is analog and rides on the shared ADC converter above (line 3 in this section), not directly on the RS485 bus. No auto-wiper exists at this price point; manual lens cleaning every 3-7 days is still required.</t>
  </si>
  <si>
    <t xml:space="preserve">3. Power, Solar &amp; Sleep Control</t>
  </si>
  <si>
    <t xml:space="preserve">12V 30W Monocrystalline Solar Panel</t>
  </si>
  <si>
    <t xml:space="preserve">https://www.bdtronics.com/12v-30w-solar-panel-monocrystalline.html</t>
  </si>
  <si>
    <t xml:space="preserve">30W instead of the originally specced 20W for near-identical price - extra headroom for monsoon cloud cover.</t>
  </si>
  <si>
    <t xml:space="preserve">12V 6Ah LiFePO4 Battery Pack (with BMS)</t>
  </si>
  <si>
    <t xml:space="preserve">https://www.techxzon.com/product/12v-6ah-lifepo4-lithium-ion-battery-at-best-price-in-bangladesh/</t>
  </si>
  <si>
    <t xml:space="preserve">This 12V pack powers the SENSOR RAIL and the buck converter feeding the LILYGO board - it does NOT plug into the LILYGO's own JST 'solar' port (see Core &amp; Cellular notes).</t>
  </si>
  <si>
    <t xml:space="preserve">12V PWM/MPPT Solar Charge Controller, 10A</t>
  </si>
  <si>
    <t xml:space="preserve">store.bdtronics.com or store.roboticsbd.com (search 'solar charge controller 10A')</t>
  </si>
  <si>
    <t xml:space="preserve">MISSING FROM ORIGINAL BOM - required to safely charge the 12V LiFePO4 pack from the panel; without it you risk overcharging the pack.</t>
  </si>
  <si>
    <t xml:space="preserve">Logic-level N-channel MOSFET switching module (e.g. IRLZ44N)</t>
  </si>
  <si>
    <t xml:space="preserve">store.roboticsbd.com (search 'MOSFET module')</t>
  </si>
  <si>
    <t xml:space="preserve">Replaces the mechanical relay in the original BOM - relay coils draw ~60-100mA continuously while energized, a MOSFET module draws effectively nothing. Gates 12V power to the sensor rail during MCU sleep.</t>
  </si>
  <si>
    <t xml:space="preserve">4. Enclosure &amp; Mechanical</t>
  </si>
  <si>
    <t xml:space="preserve">IP67 Waterproof Enclosure Box, clear lid</t>
  </si>
  <si>
    <t xml:space="preserve">store.roboticsbd.com or local electrical hardware shop (search 'IP67 junction box')</t>
  </si>
  <si>
    <t xml:space="preserve">Houses LILYGO board, MAX485, ADC converter, MOSFET module, battery.</t>
  </si>
  <si>
    <t xml:space="preserve">IP68 Cable Glands, PG7/PG9 (pack of 5-6)</t>
  </si>
  <si>
    <t xml:space="preserve">Local electrical hardware shop</t>
  </si>
  <si>
    <t xml:space="preserve">One per cable entry (RS485 bus, level sensor, pH, EC, turbidity, solar panel leads).</t>
  </si>
  <si>
    <t xml:space="preserve">Shielded 4-core twisted-pair cable, 15m</t>
  </si>
  <si>
    <t xml:space="preserve">Local electrical/cable retailer (search 'shielded twisted pair RS485 cable')</t>
  </si>
  <si>
    <t xml:space="preserve">Carries A/B/+12V/GND to each sensor node - replaces standard jumper wire for noise immunity.</t>
  </si>
  <si>
    <t xml:space="preserve">Flexible PVC conduit, 50-75mm dia, 3m</t>
  </si>
  <si>
    <t xml:space="preserve">Local hardware/plumbing shop</t>
  </si>
  <si>
    <t xml:space="preserve">Protects submerged sensor cables from mud/tidal abrasion.</t>
  </si>
  <si>
    <t xml:space="preserve">Silica gel desiccant packs, 100g x3</t>
  </si>
  <si>
    <t xml:space="preserve">Local packaging/electronics supplier</t>
  </si>
  <si>
    <t xml:space="preserve">Absorbs internal condensation in the enclosure.</t>
  </si>
  <si>
    <t xml:space="preserve">RS485 bus surge/lightning protection module (TVS-based)</t>
  </si>
  <si>
    <t xml:space="preserve">store.roboticsbd.com (search 'RS485 surge protector') or AliExpress</t>
  </si>
  <si>
    <t xml:space="preserve">MISSING FROM ORIGINAL BOM - monsoon lightning strikes are a real risk for an unattended coastal station; protects the bus and, ideally, the LTE antenna line too.</t>
  </si>
  <si>
    <t xml:space="preserve">5. Calibration &amp; Consumables</t>
  </si>
  <si>
    <t xml:space="preserve">EC/conductivity calibration standard solution (1413 uS/cm)</t>
  </si>
  <si>
    <t xml:space="preserve">Local lab-supply retailer or AliExpress</t>
  </si>
  <si>
    <t xml:space="preserve">Needed for the water EC sensor's periodic calibration cycle - not included with the sensor.</t>
  </si>
  <si>
    <t xml:space="preserve">4G/LTE Nano SIM + data plan (Grameenphone/Robi/Banglalink IoT/M2M)</t>
  </si>
  <si>
    <t xml:space="preserve">Local mobile operator</t>
  </si>
  <si>
    <t xml:space="preserve">Recurring OPEX, not a one-time hardware cost - budget monthly data separately. Confirm LTE Cat-1 band support for your Sundarbans site with the operator before committing.</t>
  </si>
  <si>
    <t xml:space="preserve">Legend:</t>
  </si>
  <si>
    <t xml:space="preserve">Yellow = price/availability not confirmed with a live local quote - verify before ordering</t>
  </si>
  <si>
    <t xml:space="preserve">Green = bundled item / good news (e.g. calibration solutions included with sensor)</t>
  </si>
  <si>
    <t xml:space="preserve">Prices are point-in-time estimates from public retailer listings (Aug 2026) - always confirm current price/stock before purchasing.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</si>
</sst>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BDT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6" min="5" style="0" width="14"/>
    <col collapsed="false" customWidth="true" hidden="false" outlineLevel="0" max="7" min="7" style="0" width="34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46.25" hidden="false" customHeight="false" outlineLevel="0" collapsed="false">
      <c r="A3" s="3" t="n">
        <v>1</v>
      </c>
      <c r="B3" s="4" t="s">
        <v>8</v>
      </c>
      <c r="C3" s="4" t="s">
        <v>9</v>
      </c>
      <c r="D3" s="3" t="n">
        <v>1</v>
      </c>
      <c r="E3" s="5" t="n">
        <v>7950</v>
      </c>
      <c r="F3" s="5" t="n">
        <f aca="false">D3*E3</f>
        <v>7950</v>
      </c>
      <c r="G3" s="4" t="s">
        <v>10</v>
      </c>
      <c r="H3" s="4" t="s">
        <v>11</v>
      </c>
    </row>
    <row r="4" customFormat="false" ht="15" hidden="false" customHeight="false" outlineLevel="0" collapsed="false">
      <c r="A4" s="6" t="n">
        <v>2</v>
      </c>
      <c r="B4" s="7" t="s">
        <v>8</v>
      </c>
      <c r="C4" s="7" t="s">
        <v>12</v>
      </c>
      <c r="D4" s="6" t="n">
        <v>1</v>
      </c>
      <c r="E4" s="8" t="n">
        <v>1000</v>
      </c>
      <c r="F4" s="8" t="n">
        <f aca="false">D4*E4</f>
        <v>1000</v>
      </c>
      <c r="G4" s="7" t="s">
        <v>13</v>
      </c>
      <c r="H4" s="7" t="s">
        <v>14</v>
      </c>
    </row>
    <row r="5" customFormat="false" ht="15" hidden="false" customHeight="false" outlineLevel="0" collapsed="false">
      <c r="A5" s="3" t="n">
        <v>3</v>
      </c>
      <c r="B5" s="4" t="s">
        <v>8</v>
      </c>
      <c r="C5" s="4" t="s">
        <v>15</v>
      </c>
      <c r="D5" s="3" t="n">
        <v>1</v>
      </c>
      <c r="E5" s="5" t="n">
        <v>399</v>
      </c>
      <c r="F5" s="5" t="n">
        <f aca="false">D5*E5</f>
        <v>399</v>
      </c>
      <c r="G5" s="4" t="s">
        <v>16</v>
      </c>
      <c r="H5" s="4" t="s">
        <v>17</v>
      </c>
    </row>
    <row r="6" customFormat="false" ht="23.85" hidden="false" customHeight="false" outlineLevel="0" collapsed="false">
      <c r="A6" s="3" t="n">
        <v>4</v>
      </c>
      <c r="B6" s="4" t="s">
        <v>8</v>
      </c>
      <c r="C6" s="4" t="s">
        <v>18</v>
      </c>
      <c r="D6" s="3" t="n">
        <v>1</v>
      </c>
      <c r="E6" s="5" t="n">
        <v>50</v>
      </c>
      <c r="F6" s="5" t="n">
        <f aca="false">D6*E6</f>
        <v>50</v>
      </c>
      <c r="G6" s="4" t="s">
        <v>13</v>
      </c>
      <c r="H6" s="4" t="s">
        <v>19</v>
      </c>
    </row>
    <row r="7" customFormat="false" ht="46.25" hidden="false" customHeight="false" outlineLevel="0" collapsed="false">
      <c r="A7" s="3" t="n">
        <v>5</v>
      </c>
      <c r="B7" s="4" t="s">
        <v>8</v>
      </c>
      <c r="C7" s="4" t="s">
        <v>20</v>
      </c>
      <c r="D7" s="3" t="n">
        <v>1</v>
      </c>
      <c r="E7" s="5" t="n">
        <v>350</v>
      </c>
      <c r="F7" s="5" t="n">
        <f aca="false">D7*E7</f>
        <v>350</v>
      </c>
      <c r="G7" s="4" t="s">
        <v>13</v>
      </c>
      <c r="H7" s="4" t="s">
        <v>21</v>
      </c>
    </row>
    <row r="8" customFormat="false" ht="15" hidden="false" customHeight="false" outlineLevel="0" collapsed="false">
      <c r="A8" s="2" t="s">
        <v>22</v>
      </c>
      <c r="B8" s="2"/>
      <c r="C8" s="2"/>
      <c r="D8" s="2"/>
      <c r="E8" s="2"/>
      <c r="F8" s="2"/>
      <c r="G8" s="2"/>
      <c r="H8" s="2"/>
    </row>
    <row r="9" customFormat="false" ht="46.25" hidden="false" customHeight="false" outlineLevel="0" collapsed="false">
      <c r="A9" s="6" t="n">
        <v>6</v>
      </c>
      <c r="B9" s="7" t="s">
        <v>22</v>
      </c>
      <c r="C9" s="7" t="s">
        <v>23</v>
      </c>
      <c r="D9" s="6" t="n">
        <v>1</v>
      </c>
      <c r="E9" s="8" t="n">
        <v>13200</v>
      </c>
      <c r="F9" s="8" t="n">
        <f aca="false">D9*E9</f>
        <v>13200</v>
      </c>
      <c r="G9" s="7" t="s">
        <v>24</v>
      </c>
      <c r="H9" s="7" t="s">
        <v>25</v>
      </c>
    </row>
    <row r="10" customFormat="false" ht="57.45" hidden="false" customHeight="false" outlineLevel="0" collapsed="false">
      <c r="A10" s="3" t="n">
        <v>7</v>
      </c>
      <c r="B10" s="4" t="s">
        <v>22</v>
      </c>
      <c r="C10" s="4" t="s">
        <v>26</v>
      </c>
      <c r="D10" s="3" t="n">
        <v>1</v>
      </c>
      <c r="E10" s="5" t="n">
        <v>5200</v>
      </c>
      <c r="F10" s="5" t="n">
        <f aca="false">D10*E10</f>
        <v>5200</v>
      </c>
      <c r="G10" s="4" t="s">
        <v>27</v>
      </c>
      <c r="H10" s="4" t="s">
        <v>28</v>
      </c>
    </row>
    <row r="11" customFormat="false" ht="57.45" hidden="false" customHeight="false" outlineLevel="0" collapsed="false">
      <c r="A11" s="3" t="n">
        <v>8</v>
      </c>
      <c r="B11" s="4" t="s">
        <v>22</v>
      </c>
      <c r="C11" s="4" t="s">
        <v>29</v>
      </c>
      <c r="D11" s="3" t="n">
        <v>1</v>
      </c>
      <c r="E11" s="5" t="n">
        <v>6700</v>
      </c>
      <c r="F11" s="5" t="n">
        <f aca="false">D11*E11</f>
        <v>6700</v>
      </c>
      <c r="G11" s="4" t="s">
        <v>30</v>
      </c>
      <c r="H11" s="4" t="s">
        <v>31</v>
      </c>
    </row>
    <row r="12" customFormat="false" ht="46.25" hidden="false" customHeight="false" outlineLevel="0" collapsed="false">
      <c r="A12" s="9" t="n">
        <v>9</v>
      </c>
      <c r="B12" s="10" t="s">
        <v>22</v>
      </c>
      <c r="C12" s="10" t="s">
        <v>32</v>
      </c>
      <c r="D12" s="9" t="n">
        <v>1</v>
      </c>
      <c r="E12" s="11" t="n">
        <v>15700</v>
      </c>
      <c r="F12" s="11" t="n">
        <f aca="false">D12*E12</f>
        <v>15700</v>
      </c>
      <c r="G12" s="10" t="s">
        <v>33</v>
      </c>
      <c r="H12" s="10" t="s">
        <v>34</v>
      </c>
    </row>
    <row r="13" customFormat="false" ht="46.25" hidden="false" customHeight="false" outlineLevel="0" collapsed="false">
      <c r="A13" s="3" t="n">
        <v>10</v>
      </c>
      <c r="B13" s="4" t="s">
        <v>22</v>
      </c>
      <c r="C13" s="4" t="s">
        <v>35</v>
      </c>
      <c r="D13" s="3" t="n">
        <v>1</v>
      </c>
      <c r="E13" s="5" t="n">
        <v>16000</v>
      </c>
      <c r="F13" s="5" t="n">
        <f aca="false">D13*E13</f>
        <v>16000</v>
      </c>
      <c r="G13" s="4" t="s">
        <v>36</v>
      </c>
      <c r="H13" s="4" t="s">
        <v>37</v>
      </c>
    </row>
    <row r="14" customFormat="false" ht="57.45" hidden="false" customHeight="false" outlineLevel="0" collapsed="false">
      <c r="A14" s="3" t="n">
        <v>11</v>
      </c>
      <c r="B14" s="4" t="s">
        <v>22</v>
      </c>
      <c r="C14" s="4" t="s">
        <v>38</v>
      </c>
      <c r="D14" s="3" t="n">
        <v>1</v>
      </c>
      <c r="E14" s="5" t="n">
        <v>900</v>
      </c>
      <c r="F14" s="5" t="n">
        <f aca="false">D14*E14</f>
        <v>900</v>
      </c>
      <c r="G14" s="4" t="s">
        <v>39</v>
      </c>
      <c r="H14" s="4" t="s">
        <v>40</v>
      </c>
    </row>
    <row r="15" customFormat="false" ht="15" hidden="false" customHeight="false" outlineLevel="0" collapsed="false">
      <c r="A15" s="2" t="s">
        <v>41</v>
      </c>
      <c r="B15" s="2"/>
      <c r="C15" s="2"/>
      <c r="D15" s="2"/>
      <c r="E15" s="2"/>
      <c r="F15" s="2"/>
      <c r="G15" s="2"/>
      <c r="H15" s="2"/>
    </row>
    <row r="16" customFormat="false" ht="23.85" hidden="false" customHeight="false" outlineLevel="0" collapsed="false">
      <c r="A16" s="6" t="n">
        <v>12</v>
      </c>
      <c r="B16" s="7" t="s">
        <v>41</v>
      </c>
      <c r="C16" s="7" t="s">
        <v>42</v>
      </c>
      <c r="D16" s="6" t="n">
        <v>1</v>
      </c>
      <c r="E16" s="8" t="n">
        <v>1200</v>
      </c>
      <c r="F16" s="8" t="n">
        <f aca="false">D16*E16</f>
        <v>1200</v>
      </c>
      <c r="G16" s="7" t="s">
        <v>43</v>
      </c>
      <c r="H16" s="7" t="s">
        <v>44</v>
      </c>
    </row>
    <row r="17" customFormat="false" ht="35.05" hidden="false" customHeight="false" outlineLevel="0" collapsed="false">
      <c r="A17" s="6" t="n">
        <v>13</v>
      </c>
      <c r="B17" s="7" t="s">
        <v>41</v>
      </c>
      <c r="C17" s="7" t="s">
        <v>45</v>
      </c>
      <c r="D17" s="6" t="n">
        <v>1</v>
      </c>
      <c r="E17" s="8" t="n">
        <v>3000</v>
      </c>
      <c r="F17" s="8" t="n">
        <f aca="false">D17*E17</f>
        <v>3000</v>
      </c>
      <c r="G17" s="7" t="s">
        <v>46</v>
      </c>
      <c r="H17" s="7" t="s">
        <v>47</v>
      </c>
    </row>
    <row r="18" customFormat="false" ht="35.05" hidden="false" customHeight="false" outlineLevel="0" collapsed="false">
      <c r="A18" s="3" t="n">
        <v>14</v>
      </c>
      <c r="B18" s="4" t="s">
        <v>41</v>
      </c>
      <c r="C18" s="4" t="s">
        <v>48</v>
      </c>
      <c r="D18" s="3" t="n">
        <v>1</v>
      </c>
      <c r="E18" s="5" t="n">
        <v>900</v>
      </c>
      <c r="F18" s="5" t="n">
        <f aca="false">D18*E18</f>
        <v>900</v>
      </c>
      <c r="G18" s="4" t="s">
        <v>49</v>
      </c>
      <c r="H18" s="4" t="s">
        <v>50</v>
      </c>
    </row>
    <row r="19" customFormat="false" ht="46.25" hidden="false" customHeight="false" outlineLevel="0" collapsed="false">
      <c r="A19" s="3" t="n">
        <v>15</v>
      </c>
      <c r="B19" s="4" t="s">
        <v>41</v>
      </c>
      <c r="C19" s="4" t="s">
        <v>51</v>
      </c>
      <c r="D19" s="3" t="n">
        <v>1</v>
      </c>
      <c r="E19" s="5" t="n">
        <v>150</v>
      </c>
      <c r="F19" s="5" t="n">
        <f aca="false">D19*E19</f>
        <v>150</v>
      </c>
      <c r="G19" s="4" t="s">
        <v>52</v>
      </c>
      <c r="H19" s="4" t="s">
        <v>53</v>
      </c>
    </row>
    <row r="20" customFormat="false" ht="15" hidden="false" customHeight="false" outlineLevel="0" collapsed="false">
      <c r="A20" s="2" t="s">
        <v>54</v>
      </c>
      <c r="B20" s="2"/>
      <c r="C20" s="2"/>
      <c r="D20" s="2"/>
      <c r="E20" s="2"/>
      <c r="F20" s="2"/>
      <c r="G20" s="2"/>
      <c r="H20" s="2"/>
    </row>
    <row r="21" customFormat="false" ht="35.05" hidden="false" customHeight="false" outlineLevel="0" collapsed="false">
      <c r="A21" s="3" t="n">
        <v>16</v>
      </c>
      <c r="B21" s="4" t="s">
        <v>54</v>
      </c>
      <c r="C21" s="4" t="s">
        <v>55</v>
      </c>
      <c r="D21" s="3" t="n">
        <v>1</v>
      </c>
      <c r="E21" s="5" t="n">
        <v>1200</v>
      </c>
      <c r="F21" s="5" t="n">
        <f aca="false">D21*E21</f>
        <v>1200</v>
      </c>
      <c r="G21" s="4" t="s">
        <v>56</v>
      </c>
      <c r="H21" s="4" t="s">
        <v>57</v>
      </c>
    </row>
    <row r="22" customFormat="false" ht="23.85" hidden="false" customHeight="false" outlineLevel="0" collapsed="false">
      <c r="A22" s="3" t="n">
        <v>17</v>
      </c>
      <c r="B22" s="4" t="s">
        <v>54</v>
      </c>
      <c r="C22" s="4" t="s">
        <v>58</v>
      </c>
      <c r="D22" s="3" t="n">
        <v>1</v>
      </c>
      <c r="E22" s="5" t="n">
        <v>300</v>
      </c>
      <c r="F22" s="5" t="n">
        <f aca="false">D22*E22</f>
        <v>300</v>
      </c>
      <c r="G22" s="4" t="s">
        <v>59</v>
      </c>
      <c r="H22" s="4" t="s">
        <v>60</v>
      </c>
    </row>
    <row r="23" customFormat="false" ht="23.85" hidden="false" customHeight="false" outlineLevel="0" collapsed="false">
      <c r="A23" s="3" t="n">
        <v>18</v>
      </c>
      <c r="B23" s="4" t="s">
        <v>54</v>
      </c>
      <c r="C23" s="4" t="s">
        <v>61</v>
      </c>
      <c r="D23" s="3" t="n">
        <v>1</v>
      </c>
      <c r="E23" s="5" t="n">
        <v>1800</v>
      </c>
      <c r="F23" s="5" t="n">
        <f aca="false">D23*E23</f>
        <v>1800</v>
      </c>
      <c r="G23" s="4" t="s">
        <v>62</v>
      </c>
      <c r="H23" s="4" t="s">
        <v>63</v>
      </c>
    </row>
    <row r="24" customFormat="false" ht="15" hidden="false" customHeight="false" outlineLevel="0" collapsed="false">
      <c r="A24" s="3" t="n">
        <v>19</v>
      </c>
      <c r="B24" s="4" t="s">
        <v>54</v>
      </c>
      <c r="C24" s="4" t="s">
        <v>64</v>
      </c>
      <c r="D24" s="3" t="n">
        <v>1</v>
      </c>
      <c r="E24" s="5" t="n">
        <v>600</v>
      </c>
      <c r="F24" s="5" t="n">
        <f aca="false">D24*E24</f>
        <v>600</v>
      </c>
      <c r="G24" s="4" t="s">
        <v>65</v>
      </c>
      <c r="H24" s="4" t="s">
        <v>66</v>
      </c>
    </row>
    <row r="25" customFormat="false" ht="15" hidden="false" customHeight="false" outlineLevel="0" collapsed="false">
      <c r="A25" s="3" t="n">
        <v>20</v>
      </c>
      <c r="B25" s="4" t="s">
        <v>54</v>
      </c>
      <c r="C25" s="4" t="s">
        <v>67</v>
      </c>
      <c r="D25" s="3" t="n">
        <v>1</v>
      </c>
      <c r="E25" s="5" t="n">
        <v>150</v>
      </c>
      <c r="F25" s="5" t="n">
        <f aca="false">D25*E25</f>
        <v>150</v>
      </c>
      <c r="G25" s="4" t="s">
        <v>68</v>
      </c>
      <c r="H25" s="4" t="s">
        <v>69</v>
      </c>
    </row>
    <row r="26" customFormat="false" ht="35.05" hidden="false" customHeight="false" outlineLevel="0" collapsed="false">
      <c r="A26" s="3" t="n">
        <v>21</v>
      </c>
      <c r="B26" s="4" t="s">
        <v>54</v>
      </c>
      <c r="C26" s="4" t="s">
        <v>70</v>
      </c>
      <c r="D26" s="3" t="n">
        <v>1</v>
      </c>
      <c r="E26" s="5" t="n">
        <v>500</v>
      </c>
      <c r="F26" s="5" t="n">
        <f aca="false">D26*E26</f>
        <v>500</v>
      </c>
      <c r="G26" s="4" t="s">
        <v>71</v>
      </c>
      <c r="H26" s="4" t="s">
        <v>72</v>
      </c>
    </row>
    <row r="27" customFormat="false" ht="15" hidden="false" customHeight="false" outlineLevel="0" collapsed="false">
      <c r="A27" s="2" t="s">
        <v>73</v>
      </c>
      <c r="B27" s="2"/>
      <c r="C27" s="2"/>
      <c r="D27" s="2"/>
      <c r="E27" s="2"/>
      <c r="F27" s="2"/>
      <c r="G27" s="2"/>
      <c r="H27" s="2"/>
    </row>
    <row r="28" customFormat="false" ht="23.85" hidden="false" customHeight="false" outlineLevel="0" collapsed="false">
      <c r="A28" s="3" t="n">
        <v>22</v>
      </c>
      <c r="B28" s="4" t="s">
        <v>73</v>
      </c>
      <c r="C28" s="4" t="s">
        <v>74</v>
      </c>
      <c r="D28" s="3" t="n">
        <v>1</v>
      </c>
      <c r="E28" s="5" t="n">
        <v>500</v>
      </c>
      <c r="F28" s="5" t="n">
        <f aca="false">D28*E28</f>
        <v>500</v>
      </c>
      <c r="G28" s="4" t="s">
        <v>75</v>
      </c>
      <c r="H28" s="4" t="s">
        <v>76</v>
      </c>
    </row>
    <row r="29" customFormat="false" ht="35.05" hidden="false" customHeight="false" outlineLevel="0" collapsed="false">
      <c r="A29" s="3" t="n">
        <v>23</v>
      </c>
      <c r="B29" s="4" t="s">
        <v>73</v>
      </c>
      <c r="C29" s="4" t="s">
        <v>77</v>
      </c>
      <c r="D29" s="3" t="n">
        <v>1</v>
      </c>
      <c r="E29" s="5" t="n">
        <v>0</v>
      </c>
      <c r="F29" s="5" t="n">
        <f aca="false">D29*E29</f>
        <v>0</v>
      </c>
      <c r="G29" s="4" t="s">
        <v>78</v>
      </c>
      <c r="H29" s="4" t="s">
        <v>79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n">
        <f aca="false">SUM(F2:F29)</f>
        <v>77749</v>
      </c>
    </row>
    <row r="33" customFormat="false" ht="15" hidden="false" customHeight="false" outlineLevel="0" collapsed="false">
      <c r="A33" s="14" t="s">
        <v>80</v>
      </c>
    </row>
    <row r="34" customFormat="false" ht="15" hidden="false" customHeight="false" outlineLevel="0" collapsed="false">
      <c r="A34" s="15"/>
      <c r="B34" s="16" t="s">
        <v>81</v>
      </c>
    </row>
    <row r="35" customFormat="false" ht="15" hidden="false" customHeight="false" outlineLevel="0" collapsed="false">
      <c r="A35" s="17"/>
      <c r="B35" s="16" t="s">
        <v>82</v>
      </c>
    </row>
    <row r="36" customFormat="false" ht="15" hidden="false" customHeight="false" outlineLevel="0" collapsed="false">
      <c r="B36" s="16" t="s">
        <v>83</v>
      </c>
    </row>
  </sheetData>
  <mergeCells count="6">
    <mergeCell ref="A2:H2"/>
    <mergeCell ref="A8:H8"/>
    <mergeCell ref="A15:H15"/>
    <mergeCell ref="A20:H20"/>
    <mergeCell ref="A27:H27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2026-08-19T02:08:05Z</dcterms:created>
  <dc:creator>openpyxl</dc:creator>
  <dc:description/>
  <dc:language>en-US</dc:language>
  <cp:lastModifiedBy/>
  <dcterms:modified xsi:type="dcterms:W3CDTF">2026-08-19T02:08:05Z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