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ed\Downloads\"/>
    </mc:Choice>
  </mc:AlternateContent>
  <xr:revisionPtr revIDLastSave="0" documentId="13_ncr:1_{1E498C3E-AE50-4727-9F81-F8AF4AC541F4}" xr6:coauthVersionLast="47" xr6:coauthVersionMax="47" xr10:uidLastSave="{00000000-0000-0000-0000-000000000000}"/>
  <bookViews>
    <workbookView xWindow="-120" yWindow="-120" windowWidth="29040" windowHeight="15720" xr2:uid="{129936D7-C04A-444D-9FD0-F9817A1EC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1" l="1"/>
  <c r="F25" i="1"/>
  <c r="F24" i="1"/>
  <c r="F23" i="1"/>
</calcChain>
</file>

<file path=xl/sharedStrings.xml><?xml version="1.0" encoding="utf-8"?>
<sst xmlns="http://schemas.openxmlformats.org/spreadsheetml/2006/main" count="84" uniqueCount="61">
  <si>
    <t>#</t>
  </si>
  <si>
    <t>Category</t>
  </si>
  <si>
    <t>Item</t>
  </si>
  <si>
    <t>Qty</t>
  </si>
  <si>
    <t>Notes</t>
  </si>
  <si>
    <t>1. Core &amp; Cellular</t>
  </si>
  <si>
    <t>LILYGO T-A7670E R2 (ESP32 + 4G LTE Cat-1 + microSD)</t>
  </si>
  <si>
    <t>16GB/32GB microSD</t>
  </si>
  <si>
    <t>Store-and-forward CSV buffer during 4G drops.</t>
  </si>
  <si>
    <t>MAX485 TTL-to-RS485 module</t>
  </si>
  <si>
    <t>120 Ohm RS485 termination resistors (pack)</t>
  </si>
  <si>
    <t>5V/3A buck (step-down) module + supercapacitor</t>
  </si>
  <si>
    <t>2. Soil &amp; Water Sensors</t>
  </si>
  <si>
    <t>RS485 7-in-1 Soil NPK/pH/EC/Moisture/Temp Sensor, IP68, 5-30V</t>
  </si>
  <si>
    <t>Treat N/P/K outputs as relative trends only in saline Sundarbans soil - EC-based estimation is inflated by Na+/Cl- ions.</t>
  </si>
  <si>
    <t>Submersible level transducer, 4-20mA, 0-5m, 24VDC, IP68</t>
  </si>
  <si>
    <t>No BD retail stock found for this spec - import item. Budget for customs duty (~15-37% on electronics into BD) and 2-4 week shipping; confirm with a local importer/customs agent before ordering.</t>
  </si>
  <si>
    <t>4-20mA/0-10V multi-channel to RS485 Modbus ADC converter (4-8 ch)</t>
  </si>
  <si>
    <t>Buy a 4-8 channel version, not a 1-channel one:</t>
  </si>
  <si>
    <t>RS485 Modbus Water pH Sensor, IP68, factory-calibrated, ATC</t>
  </si>
  <si>
    <t>check DFRobot/RobotShop/Robu.in for lower BD-region shipping.</t>
  </si>
  <si>
    <t>RS485 Industrial Water EC/TDS/Salinity Sensor, K=10 (high-range, IP68)</t>
  </si>
  <si>
    <t>the K=10 (high-range) probe, not the K=1 freshwater version - K=1 saturates in brackish/tidal Sundarbans water. This replaces the vague 'EC/Salinity/TDS Set' line with a specific, sourceable part.</t>
  </si>
  <si>
    <t>Optical turbidity probe, analog 0-5V, potted/IP68</t>
  </si>
  <si>
    <t>3. Power, Solar &amp; Sleep Control</t>
  </si>
  <si>
    <t>12V 30W Monocrystalline Solar Panel</t>
  </si>
  <si>
    <t>12V 6Ah LiFePO4 Battery Pack (with BMS)</t>
  </si>
  <si>
    <t>12V PWM/MPPT Solar Charge Controller, 10A</t>
  </si>
  <si>
    <t>Logic-level N-channel MOSFET switching module (e.g. IRLZ44N)</t>
  </si>
  <si>
    <t>4. Enclosure &amp; Mechanical</t>
  </si>
  <si>
    <t>IP67 Waterproof Enclosure Box, clear lid</t>
  </si>
  <si>
    <t>Houses LILYGO board, MAX485, ADC converter, MOSFET module, battery.</t>
  </si>
  <si>
    <t>IP68 Cable Glands, PG7/PG9 (pack of 5-6)</t>
  </si>
  <si>
    <t>One per cable entry (RS485 bus, level sensor, pH, EC, turbidity, solar panel leads).</t>
  </si>
  <si>
    <t>Shielded 4-core twisted-pair cable, 15m</t>
  </si>
  <si>
    <t>Carries A/B/+12V/GND to each sensor node - replaces standard jumper wire for noise immunity.</t>
  </si>
  <si>
    <t>Flexible PVC conduit, 50-75mm dia, 3m</t>
  </si>
  <si>
    <t>Protects submerged sensor cables from mud/tidal abrasion.</t>
  </si>
  <si>
    <t>Silica gel desiccant packs, 100g x3</t>
  </si>
  <si>
    <t>Absorbs internal condensation in the enclosure.</t>
  </si>
  <si>
    <t>RS485 bus surge/lightning protection module (TVS-based)</t>
  </si>
  <si>
    <t>monsoon lightning strikes are a real risk for an unattended coastal station; protects the bus and, ideally, the LTE antenna line too.</t>
  </si>
  <si>
    <t>5. Calibration &amp; Consumables</t>
  </si>
  <si>
    <t>EC/conductivity calibration standard solution (1413 uS/cm)</t>
  </si>
  <si>
    <t>Needed for the water EC sensor's periodic calibration cycle - not included with the sensor.</t>
  </si>
  <si>
    <t>4G/LTE Nano SIM + data plan (Grameenphone/Robi/Banglalink IoT/M2M)</t>
  </si>
  <si>
    <t>Clients Decision</t>
  </si>
  <si>
    <t>https://store.roboticsbd.com/electronics-module/832-arduino-microsd-card-module-robotics-bangladesh.html</t>
  </si>
  <si>
    <t>https://store.roboticsbd.com/development-boards/3124-lilygo-ttgo-t-a7670e-r2-built-in-gps-r2-4g-lte-development-board-robotics-bangladesh.html</t>
  </si>
  <si>
    <t>https://store.roboticsbd.com/electronics-module/560-max485-rs-485-module-ttl-to-rs-485-module-for-arduino-robotics-bangladesh.html</t>
  </si>
  <si>
    <t>https://store.roboticsbd.com/resistor/867-120k-ohm-14w-film-resistor-pack-of-10-robotics-bangladesh.html</t>
  </si>
  <si>
    <t>https://store.roboticsbd.com/robotics-parts/623--dc-dc-9v12v24v-to-5v-usb-step-down-power-module-2a-robotics-bangladesh.html</t>
  </si>
  <si>
    <t>https://store.roboticsbd.com/soil-waterph/2300-soil-sensor-rs485-5-pin-ph-npk-temperature-and-humidity-ec-sensor-conductivity-tester-multi-parameter-robotics-bangladesh.html</t>
  </si>
  <si>
    <t>https://www.daraz.com.bd/products/4-20-ma-level-transmitter-submersible-hydrostatic-sensor-ip68-stainless-steel-water-tank-sewage-oil-level-transmitter-probe-i1580076127.html</t>
  </si>
  <si>
    <t>https://www.daraz.com.bd/products/discount-0-5v-0-10v-4-20ma-dac-adc-rs485-modbus-rtu-board-n4dba06-dc-12v-8ch-analog-digital-input-output-devices-i1575814740.html</t>
  </si>
  <si>
    <t>It may be covered with the item no 06</t>
  </si>
  <si>
    <t>https://rcgearbd.com/product/158x90x65mm-clear-waterproof-plastic-electronic-project-box-enclosure-cover-case/</t>
  </si>
  <si>
    <t>https://www.daraz.com.bd/products/3pcs-waterproof-nylon-cable-gland-connector-ip68-protection-multiple-sizes-available-pg7-pg9-pg11-pg135-pg16-pg19-pg21-pg25-i1582052875.html</t>
  </si>
  <si>
    <t>https://www.daraz.com.bd/products/lighting-arrestor-for-security-cameras-cctv-systems-rs485-low-voltage-equipment-dc12v-surge-protector-10ka-i1576925244.html</t>
  </si>
  <si>
    <t>https://store.roboticsbd.com/soil-waterph/3249-gravity-analog-electrical-conductivity-sensor-robotics-bangladesh.html</t>
  </si>
  <si>
    <t>https://store.roboticsbd.com/sensors/813-liquid-suspended-particles-turbidity-sensor-detection-module-kit-original-robotics-bangladesh.html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</si>
</sst>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1F4E78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9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vertical="top" wrapText="1"/>
    </xf>
    <xf numFmtId="0" fontId="3" fillId="5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3" fillId="0" borderId="8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0CE4-4BA6-49FD-A074-305E3C4322E8}">
  <dimension ref="A1:G30"/>
  <sheetViews>
    <sheetView tabSelected="1" workbookViewId="0">
      <selection activeCell="I21" sqref="I21"/>
    </sheetView>
  </sheetViews>
  <sheetFormatPr defaultRowHeight="15" x14ac:dyDescent="0.25"/>
  <cols>
    <col min="1" max="1" width="4.85546875" customWidth="1"/>
    <col min="2" max="2" width="39.7109375" customWidth="1"/>
    <col min="3" max="3" width="43.5703125" customWidth="1"/>
    <col min="5" max="5" width="40" customWidth="1"/>
    <col min="6" max="6" width="10.28515625" customWidth="1"/>
  </cols>
  <sheetData>
    <row r="1" spans="1:7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ht="15.75" thickBot="1" x14ac:dyDescent="0.3">
      <c r="A2" s="12" t="s">
        <v>5</v>
      </c>
      <c r="B2" s="13"/>
      <c r="C2" s="13"/>
      <c r="D2" s="13"/>
      <c r="E2" s="14"/>
    </row>
    <row r="3" spans="1:7" ht="26.25" thickBot="1" x14ac:dyDescent="0.3">
      <c r="A3" s="3">
        <v>1</v>
      </c>
      <c r="B3" s="4" t="s">
        <v>5</v>
      </c>
      <c r="C3" s="4" t="s">
        <v>6</v>
      </c>
      <c r="D3" s="5">
        <v>1</v>
      </c>
      <c r="E3" s="4"/>
      <c r="F3">
        <v>7950</v>
      </c>
      <c r="G3" t="s">
        <v>48</v>
      </c>
    </row>
    <row r="4" spans="1:7" ht="26.25" thickBot="1" x14ac:dyDescent="0.3">
      <c r="A4" s="6">
        <v>2</v>
      </c>
      <c r="B4" s="7" t="s">
        <v>5</v>
      </c>
      <c r="C4" s="7" t="s">
        <v>7</v>
      </c>
      <c r="D4" s="8">
        <v>1</v>
      </c>
      <c r="E4" s="7" t="s">
        <v>8</v>
      </c>
      <c r="F4">
        <v>75</v>
      </c>
      <c r="G4" t="s">
        <v>47</v>
      </c>
    </row>
    <row r="5" spans="1:7" ht="15.75" thickBot="1" x14ac:dyDescent="0.3">
      <c r="A5" s="3">
        <v>3</v>
      </c>
      <c r="B5" s="4" t="s">
        <v>5</v>
      </c>
      <c r="C5" s="4" t="s">
        <v>9</v>
      </c>
      <c r="D5" s="5">
        <v>1</v>
      </c>
      <c r="E5" s="4"/>
      <c r="F5">
        <v>399</v>
      </c>
      <c r="G5" t="s">
        <v>49</v>
      </c>
    </row>
    <row r="6" spans="1:7" ht="15.75" thickBot="1" x14ac:dyDescent="0.3">
      <c r="A6" s="3">
        <v>4</v>
      </c>
      <c r="B6" s="4" t="s">
        <v>5</v>
      </c>
      <c r="C6" s="4" t="s">
        <v>10</v>
      </c>
      <c r="D6" s="5">
        <v>1</v>
      </c>
      <c r="E6" s="4"/>
      <c r="F6">
        <v>15</v>
      </c>
      <c r="G6" t="s">
        <v>50</v>
      </c>
    </row>
    <row r="7" spans="1:7" ht="15.75" thickBot="1" x14ac:dyDescent="0.3">
      <c r="A7" s="3">
        <v>5</v>
      </c>
      <c r="B7" s="4" t="s">
        <v>5</v>
      </c>
      <c r="C7" s="4" t="s">
        <v>11</v>
      </c>
      <c r="D7" s="5">
        <v>1</v>
      </c>
      <c r="E7" s="4"/>
      <c r="F7">
        <v>400</v>
      </c>
      <c r="G7" t="s">
        <v>51</v>
      </c>
    </row>
    <row r="8" spans="1:7" ht="15.75" thickBot="1" x14ac:dyDescent="0.3">
      <c r="A8" s="12" t="s">
        <v>12</v>
      </c>
      <c r="B8" s="13"/>
      <c r="C8" s="13"/>
      <c r="D8" s="13"/>
      <c r="E8" s="14"/>
    </row>
    <row r="9" spans="1:7" ht="39.75" customHeight="1" thickBot="1" x14ac:dyDescent="0.3">
      <c r="A9" s="6">
        <v>6</v>
      </c>
      <c r="B9" s="7" t="s">
        <v>12</v>
      </c>
      <c r="C9" s="7" t="s">
        <v>13</v>
      </c>
      <c r="D9" s="8">
        <v>1</v>
      </c>
      <c r="E9" s="7" t="s">
        <v>14</v>
      </c>
      <c r="F9">
        <v>15199</v>
      </c>
      <c r="G9" t="s">
        <v>52</v>
      </c>
    </row>
    <row r="10" spans="1:7" ht="64.5" thickBot="1" x14ac:dyDescent="0.3">
      <c r="A10" s="3">
        <v>7</v>
      </c>
      <c r="B10" s="4" t="s">
        <v>12</v>
      </c>
      <c r="C10" s="4" t="s">
        <v>15</v>
      </c>
      <c r="D10" s="5">
        <v>1</v>
      </c>
      <c r="E10" s="4" t="s">
        <v>16</v>
      </c>
      <c r="F10">
        <v>6916</v>
      </c>
      <c r="G10" t="s">
        <v>53</v>
      </c>
    </row>
    <row r="11" spans="1:7" ht="26.25" thickBot="1" x14ac:dyDescent="0.3">
      <c r="A11" s="3">
        <v>8</v>
      </c>
      <c r="B11" s="4" t="s">
        <v>12</v>
      </c>
      <c r="C11" s="4" t="s">
        <v>17</v>
      </c>
      <c r="D11" s="5">
        <v>1</v>
      </c>
      <c r="E11" s="4" t="s">
        <v>18</v>
      </c>
      <c r="F11">
        <v>5000</v>
      </c>
      <c r="G11" t="s">
        <v>54</v>
      </c>
    </row>
    <row r="12" spans="1:7" ht="26.25" thickBot="1" x14ac:dyDescent="0.3">
      <c r="A12" s="9">
        <v>9</v>
      </c>
      <c r="B12" s="10" t="s">
        <v>12</v>
      </c>
      <c r="C12" s="10" t="s">
        <v>19</v>
      </c>
      <c r="D12" s="11">
        <v>1</v>
      </c>
      <c r="E12" s="10" t="s">
        <v>20</v>
      </c>
      <c r="G12" s="15" t="s">
        <v>55</v>
      </c>
    </row>
    <row r="13" spans="1:7" ht="64.5" thickBot="1" x14ac:dyDescent="0.3">
      <c r="A13" s="3">
        <v>10</v>
      </c>
      <c r="B13" s="4" t="s">
        <v>12</v>
      </c>
      <c r="C13" s="4" t="s">
        <v>21</v>
      </c>
      <c r="D13" s="5">
        <v>1</v>
      </c>
      <c r="E13" s="4" t="s">
        <v>22</v>
      </c>
      <c r="F13">
        <v>16980</v>
      </c>
      <c r="G13" t="s">
        <v>59</v>
      </c>
    </row>
    <row r="14" spans="1:7" ht="15.75" thickBot="1" x14ac:dyDescent="0.3">
      <c r="A14" s="3">
        <v>11</v>
      </c>
      <c r="B14" s="4" t="s">
        <v>12</v>
      </c>
      <c r="C14" s="4" t="s">
        <v>23</v>
      </c>
      <c r="D14" s="5">
        <v>1</v>
      </c>
      <c r="E14" s="4"/>
      <c r="F14">
        <v>820</v>
      </c>
      <c r="G14" t="s">
        <v>60</v>
      </c>
    </row>
    <row r="15" spans="1:7" ht="15.75" thickBot="1" x14ac:dyDescent="0.3">
      <c r="A15" s="12" t="s">
        <v>24</v>
      </c>
      <c r="B15" s="13"/>
      <c r="C15" s="13"/>
      <c r="D15" s="13"/>
      <c r="E15" s="14"/>
    </row>
    <row r="16" spans="1:7" ht="15.75" thickBot="1" x14ac:dyDescent="0.3">
      <c r="A16" s="6">
        <v>12</v>
      </c>
      <c r="B16" s="7" t="s">
        <v>24</v>
      </c>
      <c r="C16" s="7" t="s">
        <v>25</v>
      </c>
      <c r="D16" s="8">
        <v>1</v>
      </c>
      <c r="E16" s="7"/>
    </row>
    <row r="17" spans="1:7" ht="15.75" thickBot="1" x14ac:dyDescent="0.3">
      <c r="A17" s="6">
        <v>13</v>
      </c>
      <c r="B17" s="7" t="s">
        <v>24</v>
      </c>
      <c r="C17" s="7" t="s">
        <v>26</v>
      </c>
      <c r="D17" s="8">
        <v>1</v>
      </c>
      <c r="E17" s="7"/>
    </row>
    <row r="18" spans="1:7" ht="15.75" thickBot="1" x14ac:dyDescent="0.3">
      <c r="A18" s="3">
        <v>14</v>
      </c>
      <c r="B18" s="4" t="s">
        <v>24</v>
      </c>
      <c r="C18" s="4" t="s">
        <v>27</v>
      </c>
      <c r="D18" s="5">
        <v>1</v>
      </c>
      <c r="E18" s="4"/>
    </row>
    <row r="19" spans="1:7" ht="26.25" thickBot="1" x14ac:dyDescent="0.3">
      <c r="A19" s="3">
        <v>15</v>
      </c>
      <c r="B19" s="4" t="s">
        <v>24</v>
      </c>
      <c r="C19" s="4" t="s">
        <v>28</v>
      </c>
      <c r="D19" s="5">
        <v>1</v>
      </c>
      <c r="E19" s="4"/>
    </row>
    <row r="20" spans="1:7" ht="15.75" thickBot="1" x14ac:dyDescent="0.3">
      <c r="A20" s="12" t="s">
        <v>29</v>
      </c>
      <c r="B20" s="13"/>
      <c r="C20" s="13"/>
      <c r="D20" s="13"/>
      <c r="E20" s="14"/>
    </row>
    <row r="21" spans="1:7" ht="26.25" thickBot="1" x14ac:dyDescent="0.3">
      <c r="A21" s="3">
        <v>16</v>
      </c>
      <c r="B21" s="4" t="s">
        <v>29</v>
      </c>
      <c r="C21" s="4" t="s">
        <v>30</v>
      </c>
      <c r="D21" s="5">
        <v>1</v>
      </c>
      <c r="E21" s="4" t="s">
        <v>31</v>
      </c>
      <c r="F21">
        <v>620</v>
      </c>
      <c r="G21" t="s">
        <v>56</v>
      </c>
    </row>
    <row r="22" spans="1:7" ht="26.25" customHeight="1" thickBot="1" x14ac:dyDescent="0.3">
      <c r="A22" s="3">
        <v>17</v>
      </c>
      <c r="B22" s="4" t="s">
        <v>29</v>
      </c>
      <c r="C22" s="4" t="s">
        <v>32</v>
      </c>
      <c r="D22" s="5">
        <v>1</v>
      </c>
      <c r="E22" s="4" t="s">
        <v>33</v>
      </c>
      <c r="F22">
        <v>1100</v>
      </c>
      <c r="G22" t="s">
        <v>57</v>
      </c>
    </row>
    <row r="23" spans="1:7" ht="39" thickBot="1" x14ac:dyDescent="0.3">
      <c r="A23" s="3">
        <v>18</v>
      </c>
      <c r="B23" s="4" t="s">
        <v>29</v>
      </c>
      <c r="C23" s="4" t="s">
        <v>34</v>
      </c>
      <c r="D23" s="5">
        <v>1</v>
      </c>
      <c r="E23" s="4" t="s">
        <v>35</v>
      </c>
      <c r="F23">
        <f>200*15</f>
        <v>3000</v>
      </c>
    </row>
    <row r="24" spans="1:7" ht="26.25" thickBot="1" x14ac:dyDescent="0.3">
      <c r="A24" s="3">
        <v>19</v>
      </c>
      <c r="B24" s="4" t="s">
        <v>29</v>
      </c>
      <c r="C24" s="4" t="s">
        <v>36</v>
      </c>
      <c r="D24" s="5">
        <v>1</v>
      </c>
      <c r="E24" s="4" t="s">
        <v>37</v>
      </c>
      <c r="F24">
        <f>25*3</f>
        <v>75</v>
      </c>
    </row>
    <row r="25" spans="1:7" ht="26.25" thickBot="1" x14ac:dyDescent="0.3">
      <c r="A25" s="3">
        <v>20</v>
      </c>
      <c r="B25" s="4" t="s">
        <v>29</v>
      </c>
      <c r="C25" s="4" t="s">
        <v>38</v>
      </c>
      <c r="D25" s="5">
        <v>1</v>
      </c>
      <c r="E25" s="4" t="s">
        <v>39</v>
      </c>
      <c r="F25">
        <f>250*3</f>
        <v>750</v>
      </c>
    </row>
    <row r="26" spans="1:7" ht="39" thickBot="1" x14ac:dyDescent="0.3">
      <c r="A26" s="3">
        <v>21</v>
      </c>
      <c r="B26" s="4" t="s">
        <v>29</v>
      </c>
      <c r="C26" s="4" t="s">
        <v>40</v>
      </c>
      <c r="D26" s="5">
        <v>1</v>
      </c>
      <c r="E26" s="4" t="s">
        <v>41</v>
      </c>
      <c r="F26">
        <v>1117</v>
      </c>
      <c r="G26" t="s">
        <v>58</v>
      </c>
    </row>
    <row r="27" spans="1:7" ht="15.75" thickBot="1" x14ac:dyDescent="0.3">
      <c r="A27" s="12" t="s">
        <v>42</v>
      </c>
      <c r="B27" s="13"/>
      <c r="C27" s="13"/>
      <c r="D27" s="13"/>
      <c r="E27" s="14"/>
    </row>
    <row r="28" spans="1:7" ht="39" customHeight="1" thickBot="1" x14ac:dyDescent="0.3">
      <c r="A28" s="3">
        <v>22</v>
      </c>
      <c r="B28" s="4" t="s">
        <v>42</v>
      </c>
      <c r="C28" s="4" t="s">
        <v>43</v>
      </c>
      <c r="D28" s="5">
        <v>1</v>
      </c>
      <c r="E28" s="4" t="s">
        <v>44</v>
      </c>
      <c r="F28">
        <v>3200</v>
      </c>
    </row>
    <row r="29" spans="1:7" ht="26.25" thickBot="1" x14ac:dyDescent="0.3">
      <c r="A29" s="3">
        <v>23</v>
      </c>
      <c r="B29" s="4" t="s">
        <v>42</v>
      </c>
      <c r="C29" s="4" t="s">
        <v>45</v>
      </c>
      <c r="D29" s="5">
        <v>1</v>
      </c>
      <c r="E29" s="4" t="s">
        <v>46</v>
      </c>
    </row>
    <row r="30" spans="1:7" x14ac:dyDescent="0.25">
      <c r="F30">
        <f>SUM(F2:F29)</f>
        <v>63616</v>
      </c>
    </row>
  </sheetData>
  <mergeCells count="5">
    <mergeCell ref="A2:E2"/>
    <mergeCell ref="A8:E8"/>
    <mergeCell ref="A15:E15"/>
    <mergeCell ref="A20:E20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Mehedi Hasan Khan</dc:creator>
  <cp:lastModifiedBy>Md. Mehedi Hasan Khan</cp:lastModifiedBy>
  <dcterms:created xsi:type="dcterms:W3CDTF">2026-08-19T06:19:03Z</dcterms:created>
  <dcterms:modified xsi:type="dcterms:W3CDTF">2026-08-19T10:14:49Z</dcterms:modified>
</cp:coreProperties>
</file>